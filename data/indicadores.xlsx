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 LOPEZ\Desktop\GOBERNACION 2025\QUINTO INFORME\CARPETA 2\ACTIVIDAD No 6\tablero indicadores ssr cauca\data\"/>
    </mc:Choice>
  </mc:AlternateContent>
  <xr:revisionPtr revIDLastSave="0" documentId="13_ncr:1_{F61E8D5B-2638-4BD1-938D-379D2A20280E}" xr6:coauthVersionLast="47" xr6:coauthVersionMax="47" xr10:uidLastSave="{00000000-0000-0000-0000-000000000000}"/>
  <bookViews>
    <workbookView xWindow="-110" yWindow="-110" windowWidth="19420" windowHeight="10300" xr2:uid="{3E04A3E6-3D83-452F-A37A-B58236E90862}"/>
  </bookViews>
  <sheets>
    <sheet name="Hoja1" sheetId="1" r:id="rId1"/>
  </sheets>
  <definedNames>
    <definedName name="_xlnm._FilterDatabase" localSheetId="0" hidden="1">Hoja1!$A$1:$H$102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2" i="1"/>
</calcChain>
</file>

<file path=xl/sharedStrings.xml><?xml version="1.0" encoding="utf-8"?>
<sst xmlns="http://schemas.openxmlformats.org/spreadsheetml/2006/main" count="311" uniqueCount="61">
  <si>
    <t>Año</t>
  </si>
  <si>
    <t>Municipio</t>
  </si>
  <si>
    <t>Indicador</t>
  </si>
  <si>
    <t>Numerador</t>
  </si>
  <si>
    <t>Denominador</t>
  </si>
  <si>
    <t>Categoría</t>
  </si>
  <si>
    <t>Valor (%)</t>
  </si>
  <si>
    <t>Cauca (global)</t>
  </si>
  <si>
    <t>Gestantes en cohorte</t>
  </si>
  <si>
    <t>Control Prenatal</t>
  </si>
  <si>
    <t>Control prenatal últimos 45 días</t>
  </si>
  <si>
    <t>4+ controles en tercer trimestre</t>
  </si>
  <si>
    <t>Tamizaje ITS</t>
  </si>
  <si>
    <t>MAC postparto/aborto</t>
  </si>
  <si>
    <t>Planificación Familiar</t>
  </si>
  <si>
    <t>Atención prenatal por GO en ARO</t>
  </si>
  <si>
    <t>Profilaxis con ASA</t>
  </si>
  <si>
    <t>Consulta puerperio</t>
  </si>
  <si>
    <t>Asesoría PF desde semana 28</t>
  </si>
  <si>
    <t>Consulta integral IVE</t>
  </si>
  <si>
    <t>IVE</t>
  </si>
  <si>
    <t>IVE antes semana 15</t>
  </si>
  <si>
    <t>IVE con oportunidad (5 días)</t>
  </si>
  <si>
    <t>MAC post IVE</t>
  </si>
  <si>
    <t>Mortalidad materna</t>
  </si>
  <si>
    <t>Mortalidad</t>
  </si>
  <si>
    <t>Mortalidad perinatal</t>
  </si>
  <si>
    <t>Mortalidad neonatal</t>
  </si>
  <si>
    <t>Meta (%)</t>
  </si>
  <si>
    <t>Casos de violencia sexual notificados</t>
  </si>
  <si>
    <t>Violencia Sexual</t>
  </si>
  <si>
    <t>Casos de acceso carnal</t>
  </si>
  <si>
    <t>Casos de acoso sexual</t>
  </si>
  <si>
    <t>Casos de actos sexuales abusivos</t>
  </si>
  <si>
    <t>Casos de otras violencias sexuales</t>
  </si>
  <si>
    <t>Municipios con mecanismo articulador RAIVVS conformado</t>
  </si>
  <si>
    <t>IPS con adherencia ≥80% al protocolo RAIVVS (visitadas)</t>
  </si>
  <si>
    <t>IPS con adherencia ≥80% al protocolo RAIVVS (total habilitadas)</t>
  </si>
  <si>
    <t>Incidencia de violencia de género e intrafamiliar (SE29)</t>
  </si>
  <si>
    <t>Popayán</t>
  </si>
  <si>
    <t>Santander de Quilichao</t>
  </si>
  <si>
    <t>Puerto Tejada</t>
  </si>
  <si>
    <t>Corinto</t>
  </si>
  <si>
    <t>Caldono</t>
  </si>
  <si>
    <t>Suárez</t>
  </si>
  <si>
    <t>Tasa de IVE por 1000 mujeres 15–49 años</t>
  </si>
  <si>
    <t>Cobertura de planificación familiar</t>
  </si>
  <si>
    <t>Cobertura de control prenatal oportuno</t>
  </si>
  <si>
    <t>Miranda</t>
  </si>
  <si>
    <t>Padilla</t>
  </si>
  <si>
    <t>Guachené</t>
  </si>
  <si>
    <t>Caloto</t>
  </si>
  <si>
    <t>Buenos Aires</t>
  </si>
  <si>
    <t>Inzá</t>
  </si>
  <si>
    <t>Argelia</t>
  </si>
  <si>
    <t>Almaguer</t>
  </si>
  <si>
    <t>Bolívar</t>
  </si>
  <si>
    <t>San Sebastián</t>
  </si>
  <si>
    <t>La Vega</t>
  </si>
  <si>
    <t>Piamonte</t>
  </si>
  <si>
    <t>López de Micay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</si>
</sst>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68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065F-8E26-4AC2-BED3-F9A7D62273E6}">
  <dimension ref="A1:H102"/>
  <sheetViews>
    <sheetView tabSelected="1" topLeftCell="A58" zoomScaleNormal="100" workbookViewId="0">
      <selection activeCell="F7" sqref="F7:F23"/>
    </sheetView>
  </sheetViews>
  <sheetFormatPr baseColWidth="10" defaultRowHeight="14.5" x14ac:dyDescent="0.35"/>
  <cols>
    <col min="6" max="6" width="11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28</v>
      </c>
      <c r="H1" t="s">
        <v>5</v>
      </c>
    </row>
    <row r="2" spans="1:8" ht="29" x14ac:dyDescent="0.35">
      <c r="A2" s="1">
        <v>2025</v>
      </c>
      <c r="B2" s="1" t="s">
        <v>7</v>
      </c>
      <c r="C2" s="1" t="s">
        <v>8</v>
      </c>
      <c r="D2" s="1">
        <v>6198</v>
      </c>
      <c r="E2" s="1">
        <v>9109</v>
      </c>
      <c r="F2" s="3">
        <f xml:space="preserve"> D2 / E2 * 100</f>
        <v>68.0425952354814</v>
      </c>
      <c r="G2" s="1">
        <v>100</v>
      </c>
      <c r="H2" s="1" t="s">
        <v>9</v>
      </c>
    </row>
    <row r="3" spans="1:8" ht="58" x14ac:dyDescent="0.35">
      <c r="A3" s="1">
        <v>2025</v>
      </c>
      <c r="B3" s="1" t="s">
        <v>7</v>
      </c>
      <c r="C3" s="1" t="s">
        <v>10</v>
      </c>
      <c r="D3" s="1">
        <v>5335</v>
      </c>
      <c r="E3" s="1">
        <v>9109</v>
      </c>
      <c r="F3" s="3">
        <f t="shared" ref="F3:F66" si="0" xml:space="preserve"> D3 / E3 * 100</f>
        <v>58.56844878691404</v>
      </c>
      <c r="G3" s="1">
        <v>100</v>
      </c>
      <c r="H3" s="1" t="s">
        <v>9</v>
      </c>
    </row>
    <row r="4" spans="1:8" ht="43.5" x14ac:dyDescent="0.35">
      <c r="A4" s="1">
        <v>2025</v>
      </c>
      <c r="B4" s="1" t="s">
        <v>7</v>
      </c>
      <c r="C4" s="1" t="s">
        <v>11</v>
      </c>
      <c r="D4" s="1">
        <v>1447</v>
      </c>
      <c r="E4" s="1">
        <v>2097</v>
      </c>
      <c r="F4" s="2">
        <f t="shared" si="0"/>
        <v>69.003338102050549</v>
      </c>
      <c r="G4" s="1">
        <v>100</v>
      </c>
      <c r="H4" s="1" t="s">
        <v>9</v>
      </c>
    </row>
    <row r="5" spans="1:8" ht="29" x14ac:dyDescent="0.35">
      <c r="A5" s="1">
        <v>2025</v>
      </c>
      <c r="B5" s="1" t="s">
        <v>7</v>
      </c>
      <c r="C5" s="1" t="s">
        <v>12</v>
      </c>
      <c r="D5" s="1">
        <v>4949</v>
      </c>
      <c r="E5" s="1">
        <v>5866</v>
      </c>
      <c r="F5" s="2">
        <f t="shared" si="0"/>
        <v>84.367541766109781</v>
      </c>
      <c r="G5" s="1">
        <v>100</v>
      </c>
      <c r="H5" s="1" t="s">
        <v>9</v>
      </c>
    </row>
    <row r="6" spans="1:8" ht="43.5" x14ac:dyDescent="0.35">
      <c r="A6" s="1">
        <v>2025</v>
      </c>
      <c r="B6" s="1" t="s">
        <v>7</v>
      </c>
      <c r="C6" s="1" t="s">
        <v>13</v>
      </c>
      <c r="D6" s="1">
        <v>554</v>
      </c>
      <c r="E6" s="1">
        <v>750</v>
      </c>
      <c r="F6" s="3">
        <f t="shared" si="0"/>
        <v>73.866666666666674</v>
      </c>
      <c r="G6" s="1">
        <v>100</v>
      </c>
      <c r="H6" s="1" t="s">
        <v>14</v>
      </c>
    </row>
    <row r="7" spans="1:8" ht="43.5" x14ac:dyDescent="0.35">
      <c r="A7" s="1">
        <v>2025</v>
      </c>
      <c r="B7" s="1" t="s">
        <v>7</v>
      </c>
      <c r="C7" s="1" t="s">
        <v>15</v>
      </c>
      <c r="D7" s="1">
        <v>2209</v>
      </c>
      <c r="E7" s="1">
        <v>3641</v>
      </c>
      <c r="F7" s="2">
        <f t="shared" si="0"/>
        <v>60.670145564405388</v>
      </c>
      <c r="G7" s="1">
        <v>100</v>
      </c>
      <c r="H7" s="1" t="s">
        <v>9</v>
      </c>
    </row>
    <row r="8" spans="1:8" ht="29" x14ac:dyDescent="0.35">
      <c r="A8" s="1">
        <v>2025</v>
      </c>
      <c r="B8" s="1" t="s">
        <v>7</v>
      </c>
      <c r="C8" s="1" t="s">
        <v>16</v>
      </c>
      <c r="D8" s="1">
        <v>1666</v>
      </c>
      <c r="E8" s="1">
        <v>2920</v>
      </c>
      <c r="F8" s="2">
        <f t="shared" si="0"/>
        <v>57.054794520547944</v>
      </c>
      <c r="G8" s="1">
        <v>100</v>
      </c>
      <c r="H8" s="1" t="s">
        <v>9</v>
      </c>
    </row>
    <row r="9" spans="1:8" ht="29" x14ac:dyDescent="0.35">
      <c r="A9" s="1">
        <v>2025</v>
      </c>
      <c r="B9" s="1" t="s">
        <v>7</v>
      </c>
      <c r="C9" s="1" t="s">
        <v>17</v>
      </c>
      <c r="D9" s="1">
        <v>49</v>
      </c>
      <c r="E9" s="1">
        <v>83</v>
      </c>
      <c r="F9" s="2">
        <f t="shared" si="0"/>
        <v>59.036144578313255</v>
      </c>
      <c r="G9" s="1">
        <v>100</v>
      </c>
      <c r="H9" s="1" t="s">
        <v>9</v>
      </c>
    </row>
    <row r="10" spans="1:8" ht="43.5" x14ac:dyDescent="0.35">
      <c r="A10" s="1">
        <v>2025</v>
      </c>
      <c r="B10" s="1" t="s">
        <v>7</v>
      </c>
      <c r="C10" s="1" t="s">
        <v>18</v>
      </c>
      <c r="D10" s="1">
        <v>1150</v>
      </c>
      <c r="E10" s="1">
        <v>1964</v>
      </c>
      <c r="F10" s="2">
        <f t="shared" si="0"/>
        <v>58.553971486761711</v>
      </c>
      <c r="G10" s="1">
        <v>100</v>
      </c>
      <c r="H10" s="1" t="s">
        <v>14</v>
      </c>
    </row>
    <row r="11" spans="1:8" ht="29" x14ac:dyDescent="0.35">
      <c r="A11" s="1">
        <v>2025</v>
      </c>
      <c r="B11" s="1" t="s">
        <v>7</v>
      </c>
      <c r="C11" s="1" t="s">
        <v>19</v>
      </c>
      <c r="D11" s="1">
        <v>1870</v>
      </c>
      <c r="E11" s="1">
        <v>1870</v>
      </c>
      <c r="F11" s="2">
        <f t="shared" si="0"/>
        <v>100</v>
      </c>
      <c r="G11" s="1">
        <v>100</v>
      </c>
      <c r="H11" s="1" t="s">
        <v>20</v>
      </c>
    </row>
    <row r="12" spans="1:8" ht="29" x14ac:dyDescent="0.35">
      <c r="A12" s="1">
        <v>2025</v>
      </c>
      <c r="B12" s="1" t="s">
        <v>7</v>
      </c>
      <c r="C12" s="1" t="s">
        <v>21</v>
      </c>
      <c r="D12" s="1">
        <v>1404</v>
      </c>
      <c r="E12" s="1">
        <v>1870</v>
      </c>
      <c r="F12" s="2">
        <f t="shared" si="0"/>
        <v>75.080213903743314</v>
      </c>
      <c r="G12" s="1">
        <v>100</v>
      </c>
      <c r="H12" s="1" t="s">
        <v>20</v>
      </c>
    </row>
    <row r="13" spans="1:8" ht="43.5" x14ac:dyDescent="0.35">
      <c r="A13" s="1">
        <v>2025</v>
      </c>
      <c r="B13" s="1" t="s">
        <v>7</v>
      </c>
      <c r="C13" s="1" t="s">
        <v>22</v>
      </c>
      <c r="D13" s="1">
        <v>1434</v>
      </c>
      <c r="E13" s="1">
        <v>1870</v>
      </c>
      <c r="F13" s="2">
        <f t="shared" si="0"/>
        <v>76.684491978609628</v>
      </c>
      <c r="G13" s="1">
        <v>100</v>
      </c>
      <c r="H13" s="1" t="s">
        <v>20</v>
      </c>
    </row>
    <row r="14" spans="1:8" ht="29" x14ac:dyDescent="0.35">
      <c r="A14" s="1">
        <v>2025</v>
      </c>
      <c r="B14" s="1" t="s">
        <v>7</v>
      </c>
      <c r="C14" s="1" t="s">
        <v>23</v>
      </c>
      <c r="D14" s="1">
        <v>1147</v>
      </c>
      <c r="E14" s="1">
        <v>1870</v>
      </c>
      <c r="F14" s="2">
        <f t="shared" si="0"/>
        <v>61.336898395721931</v>
      </c>
      <c r="G14" s="1">
        <v>100</v>
      </c>
      <c r="H14" s="1" t="s">
        <v>14</v>
      </c>
    </row>
    <row r="15" spans="1:8" ht="29" x14ac:dyDescent="0.35">
      <c r="A15" s="1">
        <v>2025</v>
      </c>
      <c r="B15" s="1" t="s">
        <v>7</v>
      </c>
      <c r="C15" s="1" t="s">
        <v>24</v>
      </c>
      <c r="D15" s="1">
        <v>7</v>
      </c>
      <c r="E15" s="1">
        <v>12591</v>
      </c>
      <c r="F15" s="2">
        <f t="shared" si="0"/>
        <v>5.5595266460169962E-2</v>
      </c>
      <c r="G15" s="1">
        <v>100</v>
      </c>
      <c r="H15" s="1" t="s">
        <v>25</v>
      </c>
    </row>
    <row r="16" spans="1:8" ht="29" x14ac:dyDescent="0.35">
      <c r="A16" s="1">
        <v>2025</v>
      </c>
      <c r="B16" s="1" t="s">
        <v>7</v>
      </c>
      <c r="C16" s="1" t="s">
        <v>26</v>
      </c>
      <c r="D16" s="1">
        <v>145</v>
      </c>
      <c r="E16" s="1">
        <v>12591</v>
      </c>
      <c r="F16" s="2">
        <f t="shared" si="0"/>
        <v>1.1516162338178064</v>
      </c>
      <c r="G16" s="1">
        <v>100</v>
      </c>
      <c r="H16" s="1" t="s">
        <v>25</v>
      </c>
    </row>
    <row r="17" spans="1:8" ht="29" x14ac:dyDescent="0.35">
      <c r="A17" s="1">
        <v>2025</v>
      </c>
      <c r="B17" s="1" t="s">
        <v>7</v>
      </c>
      <c r="C17" s="1" t="s">
        <v>27</v>
      </c>
      <c r="D17" s="1">
        <v>32</v>
      </c>
      <c r="E17" s="1">
        <v>12591</v>
      </c>
      <c r="F17" s="2">
        <f t="shared" si="0"/>
        <v>0.25414978953220552</v>
      </c>
      <c r="G17" s="1">
        <v>100</v>
      </c>
      <c r="H17" s="1" t="s">
        <v>25</v>
      </c>
    </row>
    <row r="18" spans="1:8" ht="58" x14ac:dyDescent="0.35">
      <c r="A18" s="1">
        <v>2025</v>
      </c>
      <c r="B18" s="1" t="s">
        <v>7</v>
      </c>
      <c r="C18" s="1" t="s">
        <v>29</v>
      </c>
      <c r="D18" s="1">
        <v>509</v>
      </c>
      <c r="E18" s="1">
        <v>1745</v>
      </c>
      <c r="F18" s="2">
        <f t="shared" si="0"/>
        <v>29.169054441260744</v>
      </c>
      <c r="G18" s="1">
        <v>100</v>
      </c>
      <c r="H18" s="1" t="s">
        <v>30</v>
      </c>
    </row>
    <row r="19" spans="1:8" ht="43.5" x14ac:dyDescent="0.35">
      <c r="A19" s="1">
        <v>2025</v>
      </c>
      <c r="B19" s="1" t="s">
        <v>7</v>
      </c>
      <c r="C19" s="1" t="s">
        <v>31</v>
      </c>
      <c r="D19" s="1">
        <v>204</v>
      </c>
      <c r="E19" s="1">
        <v>509</v>
      </c>
      <c r="F19" s="2">
        <f t="shared" si="0"/>
        <v>40.078585461689585</v>
      </c>
      <c r="G19" s="1">
        <v>100</v>
      </c>
      <c r="H19" s="1" t="s">
        <v>30</v>
      </c>
    </row>
    <row r="20" spans="1:8" ht="43.5" x14ac:dyDescent="0.35">
      <c r="A20" s="1">
        <v>2025</v>
      </c>
      <c r="B20" s="1" t="s">
        <v>7</v>
      </c>
      <c r="C20" s="1" t="s">
        <v>32</v>
      </c>
      <c r="D20" s="1">
        <v>70</v>
      </c>
      <c r="E20" s="1">
        <v>509</v>
      </c>
      <c r="F20" s="2">
        <f t="shared" si="0"/>
        <v>13.7524557956778</v>
      </c>
      <c r="G20" s="1">
        <v>100</v>
      </c>
      <c r="H20" s="1" t="s">
        <v>30</v>
      </c>
    </row>
    <row r="21" spans="1:8" ht="58" x14ac:dyDescent="0.35">
      <c r="A21" s="1">
        <v>2025</v>
      </c>
      <c r="B21" s="1" t="s">
        <v>7</v>
      </c>
      <c r="C21" s="1" t="s">
        <v>33</v>
      </c>
      <c r="D21" s="1">
        <v>146</v>
      </c>
      <c r="E21" s="1">
        <v>509</v>
      </c>
      <c r="F21" s="2">
        <f t="shared" si="0"/>
        <v>28.68369351669941</v>
      </c>
      <c r="G21" s="1">
        <v>100</v>
      </c>
      <c r="H21" s="1" t="s">
        <v>30</v>
      </c>
    </row>
    <row r="22" spans="1:8" ht="58" x14ac:dyDescent="0.35">
      <c r="A22" s="1">
        <v>2025</v>
      </c>
      <c r="B22" s="1" t="s">
        <v>7</v>
      </c>
      <c r="C22" s="1" t="s">
        <v>34</v>
      </c>
      <c r="D22" s="1">
        <v>86</v>
      </c>
      <c r="E22" s="1">
        <v>509</v>
      </c>
      <c r="F22" s="2">
        <f t="shared" si="0"/>
        <v>16.895874263261295</v>
      </c>
      <c r="G22" s="1">
        <v>100</v>
      </c>
      <c r="H22" s="1" t="s">
        <v>30</v>
      </c>
    </row>
    <row r="23" spans="1:8" ht="87" x14ac:dyDescent="0.35">
      <c r="A23" s="1">
        <v>2025</v>
      </c>
      <c r="B23" s="1" t="s">
        <v>7</v>
      </c>
      <c r="C23" s="1" t="s">
        <v>35</v>
      </c>
      <c r="D23" s="1">
        <v>30</v>
      </c>
      <c r="E23" s="1">
        <v>42</v>
      </c>
      <c r="F23" s="2">
        <f t="shared" si="0"/>
        <v>71.428571428571431</v>
      </c>
      <c r="G23" s="1">
        <v>100</v>
      </c>
      <c r="H23" s="1" t="s">
        <v>30</v>
      </c>
    </row>
    <row r="24" spans="1:8" ht="87" x14ac:dyDescent="0.35">
      <c r="A24" s="1">
        <v>2025</v>
      </c>
      <c r="B24" s="1" t="s">
        <v>7</v>
      </c>
      <c r="C24" s="1" t="s">
        <v>36</v>
      </c>
      <c r="D24" s="1">
        <v>3</v>
      </c>
      <c r="E24" s="1">
        <v>20</v>
      </c>
      <c r="F24" s="1">
        <f t="shared" si="0"/>
        <v>15</v>
      </c>
      <c r="G24" s="1">
        <v>100</v>
      </c>
      <c r="H24" s="1" t="s">
        <v>30</v>
      </c>
    </row>
    <row r="25" spans="1:8" ht="101.5" x14ac:dyDescent="0.35">
      <c r="A25" s="1">
        <v>2025</v>
      </c>
      <c r="B25" s="1" t="s">
        <v>7</v>
      </c>
      <c r="C25" s="1" t="s">
        <v>37</v>
      </c>
      <c r="D25" s="1">
        <v>3</v>
      </c>
      <c r="E25" s="1">
        <v>50</v>
      </c>
      <c r="F25" s="1">
        <f t="shared" si="0"/>
        <v>6</v>
      </c>
      <c r="G25" s="1">
        <v>100</v>
      </c>
      <c r="H25" s="1" t="s">
        <v>30</v>
      </c>
    </row>
    <row r="26" spans="1:8" ht="72.5" x14ac:dyDescent="0.35">
      <c r="A26" s="1">
        <v>2025</v>
      </c>
      <c r="B26" s="1" t="s">
        <v>7</v>
      </c>
      <c r="C26" s="1" t="s">
        <v>38</v>
      </c>
      <c r="D26" s="1">
        <v>1745</v>
      </c>
      <c r="E26" s="1">
        <v>1574506</v>
      </c>
      <c r="F26" s="1">
        <f t="shared" si="0"/>
        <v>0.1108284122131005</v>
      </c>
      <c r="G26" s="1">
        <v>100</v>
      </c>
      <c r="H26" s="1" t="s">
        <v>30</v>
      </c>
    </row>
    <row r="27" spans="1:8" x14ac:dyDescent="0.35">
      <c r="A27">
        <v>2025</v>
      </c>
      <c r="B27" t="s">
        <v>39</v>
      </c>
      <c r="C27" t="s">
        <v>45</v>
      </c>
      <c r="D27">
        <v>1200</v>
      </c>
      <c r="E27">
        <v>98000</v>
      </c>
      <c r="F27" s="1">
        <f t="shared" si="0"/>
        <v>1.2244897959183674</v>
      </c>
      <c r="G27" s="1">
        <v>100</v>
      </c>
      <c r="H27" t="s">
        <v>20</v>
      </c>
    </row>
    <row r="28" spans="1:8" ht="29" x14ac:dyDescent="0.35">
      <c r="A28">
        <v>2025</v>
      </c>
      <c r="B28" t="s">
        <v>39</v>
      </c>
      <c r="C28" t="s">
        <v>46</v>
      </c>
      <c r="D28">
        <v>72000</v>
      </c>
      <c r="E28">
        <v>98000</v>
      </c>
      <c r="F28" s="1">
        <f t="shared" si="0"/>
        <v>73.469387755102048</v>
      </c>
      <c r="G28" s="1">
        <v>100</v>
      </c>
      <c r="H28" s="1" t="s">
        <v>14</v>
      </c>
    </row>
    <row r="29" spans="1:8" x14ac:dyDescent="0.35">
      <c r="A29">
        <v>2025</v>
      </c>
      <c r="B29" t="s">
        <v>39</v>
      </c>
      <c r="C29" t="s">
        <v>29</v>
      </c>
      <c r="D29">
        <v>449</v>
      </c>
      <c r="E29">
        <v>404000</v>
      </c>
      <c r="F29" s="1">
        <f t="shared" si="0"/>
        <v>0.11113861386138613</v>
      </c>
      <c r="G29" s="1">
        <v>100</v>
      </c>
      <c r="H29" t="s">
        <v>30</v>
      </c>
    </row>
    <row r="30" spans="1:8" x14ac:dyDescent="0.35">
      <c r="A30">
        <v>2025</v>
      </c>
      <c r="B30" t="s">
        <v>39</v>
      </c>
      <c r="C30" t="s">
        <v>47</v>
      </c>
      <c r="D30">
        <v>6800</v>
      </c>
      <c r="E30">
        <v>8000</v>
      </c>
      <c r="F30" s="1">
        <f t="shared" si="0"/>
        <v>85</v>
      </c>
      <c r="G30" s="1">
        <v>100</v>
      </c>
      <c r="H30" t="s">
        <v>9</v>
      </c>
    </row>
    <row r="31" spans="1:8" x14ac:dyDescent="0.35">
      <c r="A31">
        <v>2025</v>
      </c>
      <c r="B31" t="s">
        <v>40</v>
      </c>
      <c r="C31" t="s">
        <v>45</v>
      </c>
      <c r="D31">
        <v>380</v>
      </c>
      <c r="E31">
        <v>32000</v>
      </c>
      <c r="F31" s="1">
        <f t="shared" si="0"/>
        <v>1.1875</v>
      </c>
      <c r="G31" s="1">
        <v>100</v>
      </c>
      <c r="H31" t="s">
        <v>20</v>
      </c>
    </row>
    <row r="32" spans="1:8" ht="29" x14ac:dyDescent="0.35">
      <c r="A32">
        <v>2025</v>
      </c>
      <c r="B32" t="s">
        <v>40</v>
      </c>
      <c r="C32" t="s">
        <v>46</v>
      </c>
      <c r="D32">
        <v>24000</v>
      </c>
      <c r="E32">
        <v>32000</v>
      </c>
      <c r="F32" s="1">
        <f t="shared" si="0"/>
        <v>75</v>
      </c>
      <c r="G32" s="1">
        <v>100</v>
      </c>
      <c r="H32" s="1" t="s">
        <v>14</v>
      </c>
    </row>
    <row r="33" spans="1:8" x14ac:dyDescent="0.35">
      <c r="A33">
        <v>2025</v>
      </c>
      <c r="B33" t="s">
        <v>40</v>
      </c>
      <c r="C33" t="s">
        <v>29</v>
      </c>
      <c r="D33">
        <v>171</v>
      </c>
      <c r="E33">
        <v>118000</v>
      </c>
      <c r="F33" s="1">
        <f t="shared" si="0"/>
        <v>0.14491525423728813</v>
      </c>
      <c r="G33" s="1">
        <v>100</v>
      </c>
      <c r="H33" t="s">
        <v>30</v>
      </c>
    </row>
    <row r="34" spans="1:8" x14ac:dyDescent="0.35">
      <c r="A34">
        <v>2025</v>
      </c>
      <c r="B34" t="s">
        <v>40</v>
      </c>
      <c r="C34" t="s">
        <v>47</v>
      </c>
      <c r="D34">
        <v>2400</v>
      </c>
      <c r="E34">
        <v>3000</v>
      </c>
      <c r="F34" s="1">
        <f t="shared" si="0"/>
        <v>80</v>
      </c>
      <c r="G34" s="1">
        <v>100</v>
      </c>
      <c r="H34" t="s">
        <v>9</v>
      </c>
    </row>
    <row r="35" spans="1:8" x14ac:dyDescent="0.35">
      <c r="A35">
        <v>2025</v>
      </c>
      <c r="B35" t="s">
        <v>41</v>
      </c>
      <c r="C35" t="s">
        <v>45</v>
      </c>
      <c r="D35">
        <v>290</v>
      </c>
      <c r="E35">
        <v>24000</v>
      </c>
      <c r="F35" s="1">
        <f t="shared" si="0"/>
        <v>1.2083333333333333</v>
      </c>
      <c r="G35" s="1">
        <v>100</v>
      </c>
      <c r="H35" t="s">
        <v>20</v>
      </c>
    </row>
    <row r="36" spans="1:8" ht="29" x14ac:dyDescent="0.35">
      <c r="A36">
        <v>2025</v>
      </c>
      <c r="B36" t="s">
        <v>41</v>
      </c>
      <c r="C36" t="s">
        <v>46</v>
      </c>
      <c r="D36">
        <v>17000</v>
      </c>
      <c r="E36">
        <v>24000</v>
      </c>
      <c r="F36" s="1">
        <f t="shared" si="0"/>
        <v>70.833333333333343</v>
      </c>
      <c r="G36" s="1">
        <v>100</v>
      </c>
      <c r="H36" s="1" t="s">
        <v>14</v>
      </c>
    </row>
    <row r="37" spans="1:8" x14ac:dyDescent="0.35">
      <c r="A37">
        <v>2025</v>
      </c>
      <c r="B37" t="s">
        <v>41</v>
      </c>
      <c r="C37" t="s">
        <v>29</v>
      </c>
      <c r="D37">
        <v>95</v>
      </c>
      <c r="E37">
        <v>44600</v>
      </c>
      <c r="F37" s="1">
        <f t="shared" si="0"/>
        <v>0.21300448430493271</v>
      </c>
      <c r="G37" s="1">
        <v>100</v>
      </c>
      <c r="H37" t="s">
        <v>30</v>
      </c>
    </row>
    <row r="38" spans="1:8" x14ac:dyDescent="0.35">
      <c r="A38">
        <v>2025</v>
      </c>
      <c r="B38" t="s">
        <v>41</v>
      </c>
      <c r="C38" t="s">
        <v>47</v>
      </c>
      <c r="D38">
        <v>1900</v>
      </c>
      <c r="E38">
        <v>2400</v>
      </c>
      <c r="F38" s="1">
        <f t="shared" si="0"/>
        <v>79.166666666666657</v>
      </c>
      <c r="G38" s="1">
        <v>100</v>
      </c>
      <c r="H38" t="s">
        <v>9</v>
      </c>
    </row>
    <row r="39" spans="1:8" x14ac:dyDescent="0.35">
      <c r="A39">
        <v>2025</v>
      </c>
      <c r="B39" t="s">
        <v>42</v>
      </c>
      <c r="C39" t="s">
        <v>45</v>
      </c>
      <c r="D39">
        <v>210</v>
      </c>
      <c r="E39">
        <v>18000</v>
      </c>
      <c r="F39" s="1">
        <f t="shared" si="0"/>
        <v>1.1666666666666667</v>
      </c>
      <c r="G39" s="1">
        <v>100</v>
      </c>
      <c r="H39" t="s">
        <v>20</v>
      </c>
    </row>
    <row r="40" spans="1:8" ht="29" x14ac:dyDescent="0.35">
      <c r="A40">
        <v>2025</v>
      </c>
      <c r="B40" t="s">
        <v>42</v>
      </c>
      <c r="C40" t="s">
        <v>46</v>
      </c>
      <c r="D40">
        <v>13000</v>
      </c>
      <c r="E40">
        <v>18000</v>
      </c>
      <c r="F40" s="1">
        <f t="shared" si="0"/>
        <v>72.222222222222214</v>
      </c>
      <c r="G40" s="1">
        <v>100</v>
      </c>
      <c r="H40" s="1" t="s">
        <v>14</v>
      </c>
    </row>
    <row r="41" spans="1:8" x14ac:dyDescent="0.35">
      <c r="A41">
        <v>2025</v>
      </c>
      <c r="B41" t="s">
        <v>42</v>
      </c>
      <c r="C41" t="s">
        <v>29</v>
      </c>
      <c r="D41">
        <v>40</v>
      </c>
      <c r="E41">
        <v>27100</v>
      </c>
      <c r="F41" s="1">
        <f t="shared" si="0"/>
        <v>0.14760147601476015</v>
      </c>
      <c r="G41" s="1">
        <v>100</v>
      </c>
      <c r="H41" t="s">
        <v>30</v>
      </c>
    </row>
    <row r="42" spans="1:8" x14ac:dyDescent="0.35">
      <c r="A42">
        <v>2025</v>
      </c>
      <c r="B42" t="s">
        <v>42</v>
      </c>
      <c r="C42" t="s">
        <v>47</v>
      </c>
      <c r="D42">
        <v>1500</v>
      </c>
      <c r="E42">
        <v>1800</v>
      </c>
      <c r="F42" s="1">
        <f t="shared" si="0"/>
        <v>83.333333333333343</v>
      </c>
      <c r="G42" s="1">
        <v>100</v>
      </c>
      <c r="H42" t="s">
        <v>9</v>
      </c>
    </row>
    <row r="43" spans="1:8" x14ac:dyDescent="0.35">
      <c r="A43">
        <v>2025</v>
      </c>
      <c r="B43" t="s">
        <v>44</v>
      </c>
      <c r="C43" t="s">
        <v>45</v>
      </c>
      <c r="D43">
        <v>190</v>
      </c>
      <c r="E43">
        <v>17000</v>
      </c>
      <c r="F43" s="1">
        <f t="shared" si="0"/>
        <v>1.1176470588235294</v>
      </c>
      <c r="G43" s="1">
        <v>100</v>
      </c>
      <c r="H43" t="s">
        <v>20</v>
      </c>
    </row>
    <row r="44" spans="1:8" ht="29" x14ac:dyDescent="0.35">
      <c r="A44">
        <v>2025</v>
      </c>
      <c r="B44" t="s">
        <v>44</v>
      </c>
      <c r="C44" t="s">
        <v>46</v>
      </c>
      <c r="D44">
        <v>12000</v>
      </c>
      <c r="E44">
        <v>17000</v>
      </c>
      <c r="F44" s="1">
        <f t="shared" si="0"/>
        <v>70.588235294117652</v>
      </c>
      <c r="G44" s="1">
        <v>100</v>
      </c>
      <c r="H44" s="1" t="s">
        <v>14</v>
      </c>
    </row>
    <row r="45" spans="1:8" x14ac:dyDescent="0.35">
      <c r="A45">
        <v>2025</v>
      </c>
      <c r="B45" t="s">
        <v>44</v>
      </c>
      <c r="C45" t="s">
        <v>29</v>
      </c>
      <c r="D45">
        <v>45</v>
      </c>
      <c r="E45">
        <v>34100</v>
      </c>
      <c r="F45" s="1">
        <f t="shared" si="0"/>
        <v>0.13196480938416422</v>
      </c>
      <c r="G45" s="1">
        <v>100</v>
      </c>
      <c r="H45" t="s">
        <v>30</v>
      </c>
    </row>
    <row r="46" spans="1:8" x14ac:dyDescent="0.35">
      <c r="A46">
        <v>2025</v>
      </c>
      <c r="B46" t="s">
        <v>44</v>
      </c>
      <c r="C46" t="s">
        <v>47</v>
      </c>
      <c r="D46">
        <v>1400</v>
      </c>
      <c r="E46">
        <v>1700</v>
      </c>
      <c r="F46" s="1">
        <f t="shared" si="0"/>
        <v>82.35294117647058</v>
      </c>
      <c r="G46" s="1">
        <v>100</v>
      </c>
      <c r="H46" t="s">
        <v>9</v>
      </c>
    </row>
    <row r="47" spans="1:8" x14ac:dyDescent="0.35">
      <c r="A47">
        <v>2025</v>
      </c>
      <c r="B47" t="s">
        <v>43</v>
      </c>
      <c r="C47" t="s">
        <v>45</v>
      </c>
      <c r="D47">
        <v>160</v>
      </c>
      <c r="E47">
        <v>15000</v>
      </c>
      <c r="F47" s="1">
        <f t="shared" si="0"/>
        <v>1.0666666666666667</v>
      </c>
      <c r="G47" s="1">
        <v>100</v>
      </c>
      <c r="H47" t="s">
        <v>20</v>
      </c>
    </row>
    <row r="48" spans="1:8" ht="29" x14ac:dyDescent="0.35">
      <c r="A48">
        <v>2025</v>
      </c>
      <c r="B48" t="s">
        <v>43</v>
      </c>
      <c r="C48" t="s">
        <v>46</v>
      </c>
      <c r="D48">
        <v>11000</v>
      </c>
      <c r="E48">
        <v>15000</v>
      </c>
      <c r="F48" s="1">
        <f t="shared" si="0"/>
        <v>73.333333333333329</v>
      </c>
      <c r="G48" s="1">
        <v>100</v>
      </c>
      <c r="H48" s="1" t="s">
        <v>14</v>
      </c>
    </row>
    <row r="49" spans="1:8" x14ac:dyDescent="0.35">
      <c r="A49">
        <v>2025</v>
      </c>
      <c r="B49" t="s">
        <v>43</v>
      </c>
      <c r="C49" t="s">
        <v>29</v>
      </c>
      <c r="D49">
        <v>58</v>
      </c>
      <c r="E49">
        <v>43200</v>
      </c>
      <c r="F49" s="1">
        <f t="shared" si="0"/>
        <v>0.13425925925925924</v>
      </c>
      <c r="G49" s="1">
        <v>100</v>
      </c>
      <c r="H49" t="s">
        <v>30</v>
      </c>
    </row>
    <row r="50" spans="1:8" x14ac:dyDescent="0.35">
      <c r="A50">
        <v>2025</v>
      </c>
      <c r="B50" t="s">
        <v>43</v>
      </c>
      <c r="C50" t="s">
        <v>47</v>
      </c>
      <c r="D50">
        <v>1200</v>
      </c>
      <c r="E50">
        <v>1500</v>
      </c>
      <c r="F50" s="1">
        <f t="shared" si="0"/>
        <v>80</v>
      </c>
      <c r="G50" s="1">
        <v>100</v>
      </c>
      <c r="H50" t="s">
        <v>9</v>
      </c>
    </row>
    <row r="51" spans="1:8" x14ac:dyDescent="0.35">
      <c r="A51">
        <v>2025</v>
      </c>
      <c r="B51" t="s">
        <v>48</v>
      </c>
      <c r="C51" t="s">
        <v>45</v>
      </c>
      <c r="D51">
        <v>180</v>
      </c>
      <c r="E51">
        <v>16000</v>
      </c>
      <c r="F51" s="1">
        <f t="shared" si="0"/>
        <v>1.125</v>
      </c>
      <c r="G51" s="1">
        <v>100</v>
      </c>
      <c r="H51" t="s">
        <v>20</v>
      </c>
    </row>
    <row r="52" spans="1:8" ht="29" x14ac:dyDescent="0.35">
      <c r="A52">
        <v>2025</v>
      </c>
      <c r="B52" t="s">
        <v>48</v>
      </c>
      <c r="C52" t="s">
        <v>46</v>
      </c>
      <c r="D52">
        <v>11500</v>
      </c>
      <c r="E52">
        <v>16000</v>
      </c>
      <c r="F52" s="1">
        <f t="shared" si="0"/>
        <v>71.875</v>
      </c>
      <c r="G52" s="1">
        <v>100</v>
      </c>
      <c r="H52" s="1" t="s">
        <v>14</v>
      </c>
    </row>
    <row r="53" spans="1:8" x14ac:dyDescent="0.35">
      <c r="A53">
        <v>2025</v>
      </c>
      <c r="B53" t="s">
        <v>48</v>
      </c>
      <c r="C53" t="s">
        <v>29</v>
      </c>
      <c r="D53">
        <v>35</v>
      </c>
      <c r="E53">
        <v>33748</v>
      </c>
      <c r="F53" s="1">
        <f t="shared" si="0"/>
        <v>0.10370984947256133</v>
      </c>
      <c r="G53" s="1">
        <v>100</v>
      </c>
      <c r="H53" t="s">
        <v>30</v>
      </c>
    </row>
    <row r="54" spans="1:8" x14ac:dyDescent="0.35">
      <c r="A54">
        <v>2025</v>
      </c>
      <c r="B54" t="s">
        <v>48</v>
      </c>
      <c r="C54" t="s">
        <v>47</v>
      </c>
      <c r="D54">
        <v>1300</v>
      </c>
      <c r="E54">
        <v>1600</v>
      </c>
      <c r="F54" s="1">
        <f t="shared" si="0"/>
        <v>81.25</v>
      </c>
      <c r="G54" s="1">
        <v>100</v>
      </c>
      <c r="H54" t="s">
        <v>9</v>
      </c>
    </row>
    <row r="55" spans="1:8" x14ac:dyDescent="0.35">
      <c r="A55">
        <v>2025</v>
      </c>
      <c r="B55" t="s">
        <v>49</v>
      </c>
      <c r="C55" t="s">
        <v>45</v>
      </c>
      <c r="D55">
        <v>100</v>
      </c>
      <c r="E55">
        <v>10600</v>
      </c>
      <c r="F55" s="1">
        <f t="shared" si="0"/>
        <v>0.94339622641509435</v>
      </c>
      <c r="G55" s="1">
        <v>100</v>
      </c>
      <c r="H55" t="s">
        <v>20</v>
      </c>
    </row>
    <row r="56" spans="1:8" ht="29" x14ac:dyDescent="0.35">
      <c r="A56">
        <v>2025</v>
      </c>
      <c r="B56" t="s">
        <v>49</v>
      </c>
      <c r="C56" t="s">
        <v>46</v>
      </c>
      <c r="D56">
        <v>7500</v>
      </c>
      <c r="E56">
        <v>10600</v>
      </c>
      <c r="F56" s="1">
        <f t="shared" si="0"/>
        <v>70.754716981132077</v>
      </c>
      <c r="G56" s="1">
        <v>100</v>
      </c>
      <c r="H56" s="1" t="s">
        <v>14</v>
      </c>
    </row>
    <row r="57" spans="1:8" x14ac:dyDescent="0.35">
      <c r="A57">
        <v>2025</v>
      </c>
      <c r="B57" t="s">
        <v>49</v>
      </c>
      <c r="C57" t="s">
        <v>29</v>
      </c>
      <c r="D57">
        <v>10</v>
      </c>
      <c r="E57">
        <v>10607</v>
      </c>
      <c r="F57" s="1">
        <f t="shared" si="0"/>
        <v>9.4277364004902428E-2</v>
      </c>
      <c r="G57" s="1">
        <v>100</v>
      </c>
      <c r="H57" t="s">
        <v>30</v>
      </c>
    </row>
    <row r="58" spans="1:8" x14ac:dyDescent="0.35">
      <c r="A58">
        <v>2025</v>
      </c>
      <c r="B58" t="s">
        <v>49</v>
      </c>
      <c r="C58" t="s">
        <v>47</v>
      </c>
      <c r="D58">
        <v>800</v>
      </c>
      <c r="E58">
        <v>1000</v>
      </c>
      <c r="F58" s="1">
        <f t="shared" si="0"/>
        <v>80</v>
      </c>
      <c r="G58" s="1">
        <v>100</v>
      </c>
      <c r="H58" t="s">
        <v>9</v>
      </c>
    </row>
    <row r="59" spans="1:8" x14ac:dyDescent="0.35">
      <c r="A59">
        <v>2025</v>
      </c>
      <c r="B59" t="s">
        <v>50</v>
      </c>
      <c r="C59" t="s">
        <v>45</v>
      </c>
      <c r="D59">
        <v>90</v>
      </c>
      <c r="E59">
        <v>9500</v>
      </c>
      <c r="F59" s="1">
        <f t="shared" si="0"/>
        <v>0.94736842105263164</v>
      </c>
      <c r="G59" s="1">
        <v>100</v>
      </c>
      <c r="H59" t="s">
        <v>20</v>
      </c>
    </row>
    <row r="60" spans="1:8" ht="29" x14ac:dyDescent="0.35">
      <c r="A60">
        <v>2025</v>
      </c>
      <c r="B60" t="s">
        <v>50</v>
      </c>
      <c r="C60" t="s">
        <v>46</v>
      </c>
      <c r="D60">
        <v>6800</v>
      </c>
      <c r="E60">
        <v>9500</v>
      </c>
      <c r="F60" s="1">
        <f t="shared" si="0"/>
        <v>71.578947368421055</v>
      </c>
      <c r="G60" s="1">
        <v>100</v>
      </c>
      <c r="H60" s="1" t="s">
        <v>14</v>
      </c>
    </row>
    <row r="61" spans="1:8" x14ac:dyDescent="0.35">
      <c r="A61">
        <v>2025</v>
      </c>
      <c r="B61" t="s">
        <v>50</v>
      </c>
      <c r="C61" t="s">
        <v>29</v>
      </c>
      <c r="D61">
        <v>23</v>
      </c>
      <c r="E61">
        <v>20600</v>
      </c>
      <c r="F61" s="1">
        <f t="shared" si="0"/>
        <v>0.11165048543689321</v>
      </c>
      <c r="G61" s="1">
        <v>100</v>
      </c>
      <c r="H61" t="s">
        <v>30</v>
      </c>
    </row>
    <row r="62" spans="1:8" x14ac:dyDescent="0.35">
      <c r="A62">
        <v>2025</v>
      </c>
      <c r="B62" t="s">
        <v>50</v>
      </c>
      <c r="C62" t="s">
        <v>47</v>
      </c>
      <c r="D62">
        <v>700</v>
      </c>
      <c r="E62">
        <v>900</v>
      </c>
      <c r="F62" s="1">
        <f t="shared" si="0"/>
        <v>77.777777777777786</v>
      </c>
      <c r="G62" s="1">
        <v>100</v>
      </c>
      <c r="H62" t="s">
        <v>9</v>
      </c>
    </row>
    <row r="63" spans="1:8" x14ac:dyDescent="0.35">
      <c r="A63">
        <v>2025</v>
      </c>
      <c r="B63" t="s">
        <v>51</v>
      </c>
      <c r="C63" t="s">
        <v>45</v>
      </c>
      <c r="D63">
        <v>160</v>
      </c>
      <c r="E63">
        <v>15500</v>
      </c>
      <c r="F63" s="1">
        <f t="shared" si="0"/>
        <v>1.032258064516129</v>
      </c>
      <c r="G63" s="1">
        <v>100</v>
      </c>
      <c r="H63" t="s">
        <v>20</v>
      </c>
    </row>
    <row r="64" spans="1:8" ht="29" x14ac:dyDescent="0.35">
      <c r="A64">
        <v>2025</v>
      </c>
      <c r="B64" t="s">
        <v>51</v>
      </c>
      <c r="C64" t="s">
        <v>46</v>
      </c>
      <c r="D64">
        <v>11000</v>
      </c>
      <c r="E64">
        <v>15500</v>
      </c>
      <c r="F64" s="1">
        <f t="shared" si="0"/>
        <v>70.967741935483872</v>
      </c>
      <c r="G64" s="1">
        <v>100</v>
      </c>
      <c r="H64" s="1" t="s">
        <v>14</v>
      </c>
    </row>
    <row r="65" spans="1:8" x14ac:dyDescent="0.35">
      <c r="A65">
        <v>2025</v>
      </c>
      <c r="B65" t="s">
        <v>51</v>
      </c>
      <c r="C65" t="s">
        <v>29</v>
      </c>
      <c r="D65">
        <v>23</v>
      </c>
      <c r="E65">
        <v>31552</v>
      </c>
      <c r="F65" s="1">
        <f t="shared" si="0"/>
        <v>7.2895537525354964E-2</v>
      </c>
      <c r="G65" s="1">
        <v>100</v>
      </c>
      <c r="H65" t="s">
        <v>30</v>
      </c>
    </row>
    <row r="66" spans="1:8" x14ac:dyDescent="0.35">
      <c r="A66">
        <v>2025</v>
      </c>
      <c r="B66" t="s">
        <v>51</v>
      </c>
      <c r="C66" t="s">
        <v>47</v>
      </c>
      <c r="D66">
        <v>1200</v>
      </c>
      <c r="E66">
        <v>1500</v>
      </c>
      <c r="F66" s="1">
        <f t="shared" si="0"/>
        <v>80</v>
      </c>
      <c r="G66" s="1">
        <v>100</v>
      </c>
      <c r="H66" t="s">
        <v>9</v>
      </c>
    </row>
    <row r="67" spans="1:8" x14ac:dyDescent="0.35">
      <c r="A67">
        <v>2025</v>
      </c>
      <c r="B67" t="s">
        <v>52</v>
      </c>
      <c r="C67" t="s">
        <v>45</v>
      </c>
      <c r="D67">
        <v>140</v>
      </c>
      <c r="E67">
        <v>13500</v>
      </c>
      <c r="F67" s="1">
        <f t="shared" ref="F67:F102" si="1" xml:space="preserve"> D67 / E67 * 100</f>
        <v>1.037037037037037</v>
      </c>
      <c r="G67" s="1">
        <v>100</v>
      </c>
      <c r="H67" t="s">
        <v>20</v>
      </c>
    </row>
    <row r="68" spans="1:8" ht="29" x14ac:dyDescent="0.35">
      <c r="A68">
        <v>2025</v>
      </c>
      <c r="B68" t="s">
        <v>52</v>
      </c>
      <c r="C68" t="s">
        <v>46</v>
      </c>
      <c r="D68">
        <v>9500</v>
      </c>
      <c r="E68">
        <v>13500</v>
      </c>
      <c r="F68" s="1">
        <f t="shared" si="1"/>
        <v>70.370370370370367</v>
      </c>
      <c r="G68" s="1">
        <v>100</v>
      </c>
      <c r="H68" s="1" t="s">
        <v>14</v>
      </c>
    </row>
    <row r="69" spans="1:8" x14ac:dyDescent="0.35">
      <c r="A69">
        <v>2025</v>
      </c>
      <c r="B69" t="s">
        <v>52</v>
      </c>
      <c r="C69" t="s">
        <v>29</v>
      </c>
      <c r="D69">
        <v>16</v>
      </c>
      <c r="E69">
        <v>35689</v>
      </c>
      <c r="F69" s="1">
        <f t="shared" si="1"/>
        <v>4.4831740872537752E-2</v>
      </c>
      <c r="G69" s="1">
        <v>100</v>
      </c>
      <c r="H69" t="s">
        <v>30</v>
      </c>
    </row>
    <row r="70" spans="1:8" x14ac:dyDescent="0.35">
      <c r="A70">
        <v>2025</v>
      </c>
      <c r="B70" t="s">
        <v>52</v>
      </c>
      <c r="C70" t="s">
        <v>47</v>
      </c>
      <c r="D70">
        <v>1100</v>
      </c>
      <c r="E70">
        <v>1300</v>
      </c>
      <c r="F70" s="1">
        <f t="shared" si="1"/>
        <v>84.615384615384613</v>
      </c>
      <c r="G70" s="1">
        <v>100</v>
      </c>
      <c r="H70" t="s">
        <v>9</v>
      </c>
    </row>
    <row r="71" spans="1:8" x14ac:dyDescent="0.35">
      <c r="A71">
        <v>2025</v>
      </c>
      <c r="B71" t="s">
        <v>53</v>
      </c>
      <c r="C71" t="s">
        <v>45</v>
      </c>
      <c r="D71">
        <v>120</v>
      </c>
      <c r="E71">
        <v>11000</v>
      </c>
      <c r="F71" s="1">
        <f t="shared" si="1"/>
        <v>1.0909090909090911</v>
      </c>
      <c r="G71" s="1">
        <v>100</v>
      </c>
      <c r="H71" t="s">
        <v>20</v>
      </c>
    </row>
    <row r="72" spans="1:8" ht="29" x14ac:dyDescent="0.35">
      <c r="A72">
        <v>2025</v>
      </c>
      <c r="B72" t="s">
        <v>53</v>
      </c>
      <c r="C72" t="s">
        <v>46</v>
      </c>
      <c r="D72">
        <v>8000</v>
      </c>
      <c r="E72">
        <v>11000</v>
      </c>
      <c r="F72" s="1">
        <f t="shared" si="1"/>
        <v>72.727272727272734</v>
      </c>
      <c r="G72" s="1">
        <v>100</v>
      </c>
      <c r="H72" s="1" t="s">
        <v>14</v>
      </c>
    </row>
    <row r="73" spans="1:8" x14ac:dyDescent="0.35">
      <c r="A73">
        <v>2025</v>
      </c>
      <c r="B73" t="s">
        <v>53</v>
      </c>
      <c r="C73" t="s">
        <v>29</v>
      </c>
      <c r="D73">
        <v>58</v>
      </c>
      <c r="E73">
        <v>31300</v>
      </c>
      <c r="F73" s="1">
        <f t="shared" si="1"/>
        <v>0.1853035143769968</v>
      </c>
      <c r="G73" s="1">
        <v>100</v>
      </c>
      <c r="H73" t="s">
        <v>30</v>
      </c>
    </row>
    <row r="74" spans="1:8" x14ac:dyDescent="0.35">
      <c r="A74">
        <v>2025</v>
      </c>
      <c r="B74" t="s">
        <v>53</v>
      </c>
      <c r="C74" t="s">
        <v>47</v>
      </c>
      <c r="D74">
        <v>900</v>
      </c>
      <c r="E74">
        <v>1100</v>
      </c>
      <c r="F74" s="1">
        <f t="shared" si="1"/>
        <v>81.818181818181827</v>
      </c>
      <c r="G74" s="1">
        <v>100</v>
      </c>
      <c r="H74" t="s">
        <v>9</v>
      </c>
    </row>
    <row r="75" spans="1:8" x14ac:dyDescent="0.35">
      <c r="A75">
        <v>2025</v>
      </c>
      <c r="B75" t="s">
        <v>54</v>
      </c>
      <c r="C75" t="s">
        <v>45</v>
      </c>
      <c r="D75">
        <v>110</v>
      </c>
      <c r="E75">
        <v>10500</v>
      </c>
      <c r="F75" s="1">
        <f t="shared" si="1"/>
        <v>1.0476190476190477</v>
      </c>
      <c r="G75" s="1">
        <v>100</v>
      </c>
      <c r="H75" t="s">
        <v>20</v>
      </c>
    </row>
    <row r="76" spans="1:8" ht="29" x14ac:dyDescent="0.35">
      <c r="A76">
        <v>2025</v>
      </c>
      <c r="B76" t="s">
        <v>54</v>
      </c>
      <c r="C76" t="s">
        <v>46</v>
      </c>
      <c r="D76">
        <v>7500</v>
      </c>
      <c r="E76">
        <v>10500</v>
      </c>
      <c r="F76" s="1">
        <f t="shared" si="1"/>
        <v>71.428571428571431</v>
      </c>
      <c r="G76" s="1">
        <v>100</v>
      </c>
      <c r="H76" s="1" t="s">
        <v>14</v>
      </c>
    </row>
    <row r="77" spans="1:8" x14ac:dyDescent="0.35">
      <c r="A77">
        <v>2025</v>
      </c>
      <c r="B77" t="s">
        <v>54</v>
      </c>
      <c r="C77" t="s">
        <v>29</v>
      </c>
      <c r="D77">
        <v>14</v>
      </c>
      <c r="E77">
        <v>28128</v>
      </c>
      <c r="F77" s="1">
        <f t="shared" si="1"/>
        <v>4.977246871444823E-2</v>
      </c>
      <c r="G77" s="1">
        <v>100</v>
      </c>
      <c r="H77" t="s">
        <v>30</v>
      </c>
    </row>
    <row r="78" spans="1:8" x14ac:dyDescent="0.35">
      <c r="A78">
        <v>2025</v>
      </c>
      <c r="B78" t="s">
        <v>54</v>
      </c>
      <c r="C78" t="s">
        <v>47</v>
      </c>
      <c r="D78">
        <v>850</v>
      </c>
      <c r="E78">
        <v>1000</v>
      </c>
      <c r="F78" s="1">
        <f t="shared" si="1"/>
        <v>85</v>
      </c>
      <c r="G78" s="1">
        <v>100</v>
      </c>
      <c r="H78" t="s">
        <v>9</v>
      </c>
    </row>
    <row r="79" spans="1:8" x14ac:dyDescent="0.35">
      <c r="A79">
        <v>2025</v>
      </c>
      <c r="B79" t="s">
        <v>55</v>
      </c>
      <c r="C79" t="s">
        <v>45</v>
      </c>
      <c r="D79">
        <v>100</v>
      </c>
      <c r="E79">
        <v>9500</v>
      </c>
      <c r="F79" s="1">
        <f t="shared" si="1"/>
        <v>1.0526315789473684</v>
      </c>
      <c r="G79" s="1">
        <v>100</v>
      </c>
      <c r="H79" t="s">
        <v>20</v>
      </c>
    </row>
    <row r="80" spans="1:8" ht="29" x14ac:dyDescent="0.35">
      <c r="A80">
        <v>2025</v>
      </c>
      <c r="B80" t="s">
        <v>55</v>
      </c>
      <c r="C80" t="s">
        <v>46</v>
      </c>
      <c r="D80">
        <v>7000</v>
      </c>
      <c r="E80">
        <v>9500</v>
      </c>
      <c r="F80" s="1">
        <f t="shared" si="1"/>
        <v>73.68421052631578</v>
      </c>
      <c r="G80" s="1">
        <v>100</v>
      </c>
      <c r="H80" s="1" t="s">
        <v>14</v>
      </c>
    </row>
    <row r="81" spans="1:8" x14ac:dyDescent="0.35">
      <c r="A81">
        <v>2025</v>
      </c>
      <c r="B81" t="s">
        <v>55</v>
      </c>
      <c r="C81" t="s">
        <v>29</v>
      </c>
      <c r="D81">
        <v>11</v>
      </c>
      <c r="E81">
        <v>19648</v>
      </c>
      <c r="F81" s="1">
        <f t="shared" si="1"/>
        <v>5.5985342019543978E-2</v>
      </c>
      <c r="G81" s="1">
        <v>100</v>
      </c>
      <c r="H81" t="s">
        <v>30</v>
      </c>
    </row>
    <row r="82" spans="1:8" x14ac:dyDescent="0.35">
      <c r="A82">
        <v>2025</v>
      </c>
      <c r="B82" t="s">
        <v>55</v>
      </c>
      <c r="C82" t="s">
        <v>47</v>
      </c>
      <c r="D82">
        <v>800</v>
      </c>
      <c r="E82">
        <v>950</v>
      </c>
      <c r="F82" s="1">
        <f t="shared" si="1"/>
        <v>84.210526315789465</v>
      </c>
      <c r="G82" s="1">
        <v>100</v>
      </c>
      <c r="H82" t="s">
        <v>9</v>
      </c>
    </row>
    <row r="83" spans="1:8" x14ac:dyDescent="0.35">
      <c r="A83">
        <v>2025</v>
      </c>
      <c r="B83" t="s">
        <v>56</v>
      </c>
      <c r="C83" t="s">
        <v>45</v>
      </c>
      <c r="D83">
        <v>90</v>
      </c>
      <c r="E83">
        <v>9000</v>
      </c>
      <c r="F83" s="1">
        <f t="shared" si="1"/>
        <v>1</v>
      </c>
      <c r="G83" s="1">
        <v>100</v>
      </c>
      <c r="H83" t="s">
        <v>20</v>
      </c>
    </row>
    <row r="84" spans="1:8" ht="29" x14ac:dyDescent="0.35">
      <c r="A84">
        <v>2025</v>
      </c>
      <c r="B84" t="s">
        <v>56</v>
      </c>
      <c r="C84" t="s">
        <v>46</v>
      </c>
      <c r="D84">
        <v>6500</v>
      </c>
      <c r="E84">
        <v>9000</v>
      </c>
      <c r="F84" s="1">
        <f t="shared" si="1"/>
        <v>72.222222222222214</v>
      </c>
      <c r="G84" s="1">
        <v>100</v>
      </c>
      <c r="H84" s="1" t="s">
        <v>14</v>
      </c>
    </row>
    <row r="85" spans="1:8" x14ac:dyDescent="0.35">
      <c r="A85">
        <v>2025</v>
      </c>
      <c r="B85" t="s">
        <v>56</v>
      </c>
      <c r="C85" t="s">
        <v>29</v>
      </c>
      <c r="D85">
        <v>7</v>
      </c>
      <c r="E85">
        <v>39731</v>
      </c>
      <c r="F85" s="1">
        <f t="shared" si="1"/>
        <v>1.7618484306964336E-2</v>
      </c>
      <c r="G85" s="1">
        <v>100</v>
      </c>
      <c r="H85" t="s">
        <v>30</v>
      </c>
    </row>
    <row r="86" spans="1:8" x14ac:dyDescent="0.35">
      <c r="A86">
        <v>2025</v>
      </c>
      <c r="B86" t="s">
        <v>56</v>
      </c>
      <c r="C86" t="s">
        <v>47</v>
      </c>
      <c r="D86">
        <v>700</v>
      </c>
      <c r="E86">
        <v>900</v>
      </c>
      <c r="F86" s="1">
        <f t="shared" si="1"/>
        <v>77.777777777777786</v>
      </c>
      <c r="G86" s="1">
        <v>100</v>
      </c>
      <c r="H86" t="s">
        <v>9</v>
      </c>
    </row>
    <row r="87" spans="1:8" x14ac:dyDescent="0.35">
      <c r="A87">
        <v>2025</v>
      </c>
      <c r="B87" t="s">
        <v>57</v>
      </c>
      <c r="C87" t="s">
        <v>45</v>
      </c>
      <c r="D87">
        <v>80</v>
      </c>
      <c r="E87">
        <v>8500</v>
      </c>
      <c r="F87" s="1">
        <f t="shared" si="1"/>
        <v>0.94117647058823517</v>
      </c>
      <c r="G87" s="1">
        <v>100</v>
      </c>
      <c r="H87" t="s">
        <v>20</v>
      </c>
    </row>
    <row r="88" spans="1:8" ht="29" x14ac:dyDescent="0.35">
      <c r="A88">
        <v>2025</v>
      </c>
      <c r="B88" t="s">
        <v>57</v>
      </c>
      <c r="C88" t="s">
        <v>46</v>
      </c>
      <c r="D88">
        <v>6000</v>
      </c>
      <c r="E88">
        <v>8500</v>
      </c>
      <c r="F88" s="1">
        <f t="shared" si="1"/>
        <v>70.588235294117652</v>
      </c>
      <c r="G88" s="1">
        <v>100</v>
      </c>
      <c r="H88" s="1" t="s">
        <v>14</v>
      </c>
    </row>
    <row r="89" spans="1:8" x14ac:dyDescent="0.35">
      <c r="A89">
        <v>2025</v>
      </c>
      <c r="B89" t="s">
        <v>57</v>
      </c>
      <c r="C89" t="s">
        <v>29</v>
      </c>
      <c r="D89">
        <v>2</v>
      </c>
      <c r="E89">
        <v>11759</v>
      </c>
      <c r="F89" s="1">
        <f t="shared" si="1"/>
        <v>1.700824900076537E-2</v>
      </c>
      <c r="G89" s="1">
        <v>100</v>
      </c>
      <c r="H89" t="s">
        <v>30</v>
      </c>
    </row>
    <row r="90" spans="1:8" x14ac:dyDescent="0.35">
      <c r="A90">
        <v>2025</v>
      </c>
      <c r="B90" t="s">
        <v>57</v>
      </c>
      <c r="C90" t="s">
        <v>47</v>
      </c>
      <c r="D90">
        <v>650</v>
      </c>
      <c r="E90">
        <v>800</v>
      </c>
      <c r="F90" s="1">
        <f t="shared" si="1"/>
        <v>81.25</v>
      </c>
      <c r="G90" s="1">
        <v>100</v>
      </c>
      <c r="H90" t="s">
        <v>9</v>
      </c>
    </row>
    <row r="91" spans="1:8" x14ac:dyDescent="0.35">
      <c r="A91">
        <v>2025</v>
      </c>
      <c r="B91" t="s">
        <v>58</v>
      </c>
      <c r="C91" t="s">
        <v>45</v>
      </c>
      <c r="D91">
        <v>85</v>
      </c>
      <c r="E91">
        <v>8700</v>
      </c>
      <c r="F91" s="1">
        <f t="shared" si="1"/>
        <v>0.97701149425287359</v>
      </c>
      <c r="G91" s="1">
        <v>100</v>
      </c>
      <c r="H91" t="s">
        <v>20</v>
      </c>
    </row>
    <row r="92" spans="1:8" ht="29" x14ac:dyDescent="0.35">
      <c r="A92">
        <v>2025</v>
      </c>
      <c r="B92" t="s">
        <v>58</v>
      </c>
      <c r="C92" t="s">
        <v>46</v>
      </c>
      <c r="D92">
        <v>6200</v>
      </c>
      <c r="E92">
        <v>8700</v>
      </c>
      <c r="F92" s="1">
        <f t="shared" si="1"/>
        <v>71.264367816091962</v>
      </c>
      <c r="G92" s="1">
        <v>100</v>
      </c>
      <c r="H92" s="1" t="s">
        <v>14</v>
      </c>
    </row>
    <row r="93" spans="1:8" x14ac:dyDescent="0.35">
      <c r="A93">
        <v>2025</v>
      </c>
      <c r="B93" t="s">
        <v>58</v>
      </c>
      <c r="C93" t="s">
        <v>29</v>
      </c>
      <c r="D93">
        <v>8</v>
      </c>
      <c r="E93">
        <v>26295</v>
      </c>
      <c r="F93" s="1">
        <f t="shared" si="1"/>
        <v>3.0424034987640236E-2</v>
      </c>
      <c r="G93" s="1">
        <v>100</v>
      </c>
      <c r="H93" t="s">
        <v>30</v>
      </c>
    </row>
    <row r="94" spans="1:8" x14ac:dyDescent="0.35">
      <c r="A94">
        <v>2025</v>
      </c>
      <c r="B94" t="s">
        <v>58</v>
      </c>
      <c r="C94" t="s">
        <v>47</v>
      </c>
      <c r="D94">
        <v>700</v>
      </c>
      <c r="E94">
        <v>850</v>
      </c>
      <c r="F94" s="1">
        <f t="shared" si="1"/>
        <v>82.35294117647058</v>
      </c>
      <c r="G94" s="1">
        <v>100</v>
      </c>
      <c r="H94" t="s">
        <v>9</v>
      </c>
    </row>
    <row r="95" spans="1:8" x14ac:dyDescent="0.35">
      <c r="A95">
        <v>2025</v>
      </c>
      <c r="B95" t="s">
        <v>59</v>
      </c>
      <c r="C95" t="s">
        <v>45</v>
      </c>
      <c r="D95">
        <v>60</v>
      </c>
      <c r="E95">
        <v>6000</v>
      </c>
      <c r="F95" s="1">
        <f t="shared" si="1"/>
        <v>1</v>
      </c>
      <c r="G95" s="1">
        <v>100</v>
      </c>
      <c r="H95" t="s">
        <v>20</v>
      </c>
    </row>
    <row r="96" spans="1:8" ht="29" x14ac:dyDescent="0.35">
      <c r="A96">
        <v>2025</v>
      </c>
      <c r="B96" t="s">
        <v>59</v>
      </c>
      <c r="C96" t="s">
        <v>46</v>
      </c>
      <c r="D96">
        <v>4300</v>
      </c>
      <c r="E96">
        <v>6000</v>
      </c>
      <c r="F96" s="1">
        <f t="shared" si="1"/>
        <v>71.666666666666671</v>
      </c>
      <c r="G96" s="1">
        <v>100</v>
      </c>
      <c r="H96" s="1" t="s">
        <v>14</v>
      </c>
    </row>
    <row r="97" spans="1:8" x14ac:dyDescent="0.35">
      <c r="A97">
        <v>2025</v>
      </c>
      <c r="B97" t="s">
        <v>59</v>
      </c>
      <c r="C97" t="s">
        <v>29</v>
      </c>
      <c r="D97">
        <v>5</v>
      </c>
      <c r="E97">
        <v>9807</v>
      </c>
      <c r="F97" s="1">
        <f t="shared" si="1"/>
        <v>5.0983991026817582E-2</v>
      </c>
      <c r="G97" s="1">
        <v>100</v>
      </c>
      <c r="H97" t="s">
        <v>30</v>
      </c>
    </row>
    <row r="98" spans="1:8" x14ac:dyDescent="0.35">
      <c r="A98">
        <v>2025</v>
      </c>
      <c r="B98" t="s">
        <v>59</v>
      </c>
      <c r="C98" t="s">
        <v>47</v>
      </c>
      <c r="D98">
        <v>500</v>
      </c>
      <c r="E98">
        <v>600</v>
      </c>
      <c r="F98" s="1">
        <f t="shared" si="1"/>
        <v>83.333333333333343</v>
      </c>
      <c r="G98" s="1">
        <v>100</v>
      </c>
      <c r="H98" t="s">
        <v>9</v>
      </c>
    </row>
    <row r="99" spans="1:8" x14ac:dyDescent="0.35">
      <c r="A99">
        <v>2025</v>
      </c>
      <c r="B99" t="s">
        <v>60</v>
      </c>
      <c r="C99" t="s">
        <v>45</v>
      </c>
      <c r="D99">
        <v>70</v>
      </c>
      <c r="E99">
        <v>7000</v>
      </c>
      <c r="F99" s="1">
        <f t="shared" si="1"/>
        <v>1</v>
      </c>
      <c r="G99" s="1">
        <v>100</v>
      </c>
      <c r="H99" t="s">
        <v>20</v>
      </c>
    </row>
    <row r="100" spans="1:8" ht="29" x14ac:dyDescent="0.35">
      <c r="A100">
        <v>2025</v>
      </c>
      <c r="B100" t="s">
        <v>60</v>
      </c>
      <c r="C100" t="s">
        <v>46</v>
      </c>
      <c r="D100">
        <v>5000</v>
      </c>
      <c r="E100">
        <v>7000</v>
      </c>
      <c r="F100" s="1">
        <f t="shared" si="1"/>
        <v>71.428571428571431</v>
      </c>
      <c r="G100" s="1">
        <v>100</v>
      </c>
      <c r="H100" s="1" t="s">
        <v>14</v>
      </c>
    </row>
    <row r="101" spans="1:8" x14ac:dyDescent="0.35">
      <c r="A101">
        <v>2025</v>
      </c>
      <c r="B101" t="s">
        <v>60</v>
      </c>
      <c r="C101" t="s">
        <v>29</v>
      </c>
      <c r="D101">
        <v>7</v>
      </c>
      <c r="E101">
        <v>19958</v>
      </c>
      <c r="F101" s="1">
        <f t="shared" si="1"/>
        <v>3.5073654674817115E-2</v>
      </c>
      <c r="G101" s="1">
        <v>100</v>
      </c>
      <c r="H101" t="s">
        <v>30</v>
      </c>
    </row>
    <row r="102" spans="1:8" x14ac:dyDescent="0.35">
      <c r="A102">
        <v>2025</v>
      </c>
      <c r="B102" t="s">
        <v>60</v>
      </c>
      <c r="C102" t="s">
        <v>47</v>
      </c>
      <c r="D102">
        <v>600</v>
      </c>
      <c r="E102">
        <v>700</v>
      </c>
      <c r="F102" s="1">
        <f t="shared" si="1"/>
        <v>85.714285714285708</v>
      </c>
      <c r="G102" s="1">
        <v>100</v>
      </c>
      <c r="H102" t="s">
        <v>9</v>
      </c>
    </row>
  </sheetData>
  <autoFilter ref="A1:H102" xr:uid="{D6C3065F-8E26-4AC2-BED3-F9A7D62273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LUIS LOPEZ HURTADO</dc:creator>
  <cp:lastModifiedBy>CESAR LUIS LOPEZ HURTADO</cp:lastModifiedBy>
  <dcterms:created xsi:type="dcterms:W3CDTF">2025-08-13T15:04:28Z</dcterms:created>
  <dcterms:modified xsi:type="dcterms:W3CDTF">2025-11-13T20:26:21Z</dcterms:modified>
</cp:coreProperties>
</file>