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 LOPEZ\Desktop\tablero-indicadores-ssr-cauca\data\"/>
    </mc:Choice>
  </mc:AlternateContent>
  <xr:revisionPtr revIDLastSave="0" documentId="13_ncr:1_{570590B2-3147-4E71-899B-A65622761D37}" xr6:coauthVersionLast="47" xr6:coauthVersionMax="47" xr10:uidLastSave="{00000000-0000-0000-0000-000000000000}"/>
  <bookViews>
    <workbookView xWindow="19090" yWindow="-110" windowWidth="19420" windowHeight="10300" xr2:uid="{1F075172-DC8D-4D48-AEB3-A459EFB541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<sst xmlns="http://schemas.openxmlformats.org/spreadsheetml/2006/main" count="13" uniqueCount="13">
  <si>
    <t>Indicador</t>
  </si>
  <si>
    <t>Mayo</t>
  </si>
  <si>
    <t>Junio</t>
  </si>
  <si>
    <t>Variación Absoluta</t>
  </si>
  <si>
    <t>Variación Porcentual</t>
  </si>
  <si>
    <t>Total de Gestantes Activas</t>
  </si>
  <si>
    <t>Gestantes Adolescentes (10-19 años)</t>
  </si>
  <si>
    <t>Gestantes con CPN</t>
  </si>
  <si>
    <t>Gestantes con CPN Temprano</t>
  </si>
  <si>
    <t>Gestantes con Alerta de Riesgo</t>
  </si>
  <si>
    <t>Julio</t>
  </si>
  <si>
    <t>Agosto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</si>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</sst>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544A-B55A-4662-B6B3-86CF1F5AC66F}">
  <dimension ref="A1:H6"/>
  <sheetViews>
    <sheetView tabSelected="1" workbookViewId="0">
      <selection activeCell="F7" sqref="F7"/>
    </sheetView>
  </sheetViews>
  <sheetFormatPr baseColWidth="10" defaultRowHeight="14.5" x14ac:dyDescent="0.35"/>
  <cols>
    <col min="8" max="8" width="11.36328125" bestFit="1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3</v>
      </c>
      <c r="H1" s="1" t="s">
        <v>4</v>
      </c>
    </row>
    <row r="2" spans="1:8" ht="43.5" x14ac:dyDescent="0.35">
      <c r="A2" s="2" t="s">
        <v>5</v>
      </c>
      <c r="B2" s="2">
        <v>6466</v>
      </c>
      <c r="C2" s="2">
        <v>6273</v>
      </c>
      <c r="D2" s="2">
        <v>4892</v>
      </c>
      <c r="E2" s="2">
        <v>6198</v>
      </c>
      <c r="F2" s="2">
        <v>7254</v>
      </c>
      <c r="G2" s="2">
        <f>E2-D2</f>
        <v>1306</v>
      </c>
      <c r="H2" s="3">
        <f>(E2-D2)/D2</f>
        <v>0.26696647587898609</v>
      </c>
    </row>
    <row r="3" spans="1:8" ht="58" x14ac:dyDescent="0.35">
      <c r="A3" s="2" t="s">
        <v>6</v>
      </c>
      <c r="B3" s="2">
        <v>1036</v>
      </c>
      <c r="C3" s="2">
        <v>996</v>
      </c>
      <c r="D3" s="2">
        <v>843</v>
      </c>
      <c r="E3" s="2">
        <v>1005</v>
      </c>
      <c r="F3" s="2">
        <v>1354</v>
      </c>
      <c r="G3" s="2">
        <f t="shared" ref="G3:G6" si="0">E3-D3</f>
        <v>162</v>
      </c>
      <c r="H3" s="3">
        <f t="shared" ref="H3:H6" si="1">(E3-D3)/D3</f>
        <v>0.19217081850533807</v>
      </c>
    </row>
    <row r="4" spans="1:8" ht="29" x14ac:dyDescent="0.35">
      <c r="A4" s="2" t="s">
        <v>7</v>
      </c>
      <c r="B4" s="2">
        <v>6466</v>
      </c>
      <c r="C4" s="2">
        <v>6273</v>
      </c>
      <c r="D4" s="2">
        <v>4892</v>
      </c>
      <c r="E4" s="2">
        <v>6198</v>
      </c>
      <c r="F4" s="2">
        <v>7254</v>
      </c>
      <c r="G4" s="2">
        <f t="shared" si="0"/>
        <v>1306</v>
      </c>
      <c r="H4" s="3">
        <f t="shared" si="1"/>
        <v>0.26696647587898609</v>
      </c>
    </row>
    <row r="5" spans="1:8" ht="43.5" x14ac:dyDescent="0.35">
      <c r="A5" s="2" t="s">
        <v>8</v>
      </c>
      <c r="B5" s="2">
        <v>4573</v>
      </c>
      <c r="C5" s="2">
        <v>4674</v>
      </c>
      <c r="D5" s="2">
        <v>3531</v>
      </c>
      <c r="E5" s="2">
        <v>4873</v>
      </c>
      <c r="F5" s="2">
        <v>5478</v>
      </c>
      <c r="G5" s="2">
        <f t="shared" si="0"/>
        <v>1342</v>
      </c>
      <c r="H5" s="3">
        <f t="shared" si="1"/>
        <v>0.38006230529595014</v>
      </c>
    </row>
    <row r="6" spans="1:8" ht="43.5" x14ac:dyDescent="0.35">
      <c r="A6" s="2" t="s">
        <v>9</v>
      </c>
      <c r="B6" s="2">
        <v>721</v>
      </c>
      <c r="C6" s="2">
        <v>674</v>
      </c>
      <c r="D6" s="2">
        <v>431</v>
      </c>
      <c r="E6" s="2">
        <v>772</v>
      </c>
      <c r="F6" s="2">
        <v>725</v>
      </c>
      <c r="G6" s="2">
        <f t="shared" si="0"/>
        <v>341</v>
      </c>
      <c r="H6" s="3">
        <f t="shared" si="1"/>
        <v>0.79118329466357307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LUIS LOPEZ HURTADO</dc:creator>
  <cp:lastModifiedBy>CESAR LUIS LOPEZ HURTADO</cp:lastModifiedBy>
  <dcterms:created xsi:type="dcterms:W3CDTF">2025-08-13T22:40:07Z</dcterms:created>
  <dcterms:modified xsi:type="dcterms:W3CDTF">2025-11-19T22:44:21Z</dcterms:modified>
</cp:coreProperties>
</file>